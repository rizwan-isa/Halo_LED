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zwanisa/EngineeringServices/01_Templates/KiCad Template/docs/DesignFiles/"/>
    </mc:Choice>
  </mc:AlternateContent>
  <xr:revisionPtr revIDLastSave="0" documentId="13_ncr:1_{7B89876B-2209-134F-8CB8-D1523B484E36}" xr6:coauthVersionLast="47" xr6:coauthVersionMax="47" xr10:uidLastSave="{00000000-0000-0000-0000-000000000000}"/>
  <bookViews>
    <workbookView xWindow="5160" yWindow="3580" windowWidth="21140" windowHeight="11720" tabRatio="742" activeTab="2" xr2:uid="{008483EA-6479-47C7-B8CC-04C903AFC960}"/>
  </bookViews>
  <sheets>
    <sheet name="Version" sheetId="2" r:id="rId1"/>
    <sheet name="PWR" sheetId="3" r:id="rId2"/>
    <sheet name="LOGIC" sheetId="4" r:id="rId3"/>
    <sheet name="AMP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12" i="1"/>
  <c r="C17" i="1"/>
  <c r="C8" i="1"/>
  <c r="C11" i="1"/>
  <c r="C6" i="1"/>
  <c r="D9" i="1" l="1"/>
  <c r="D13" i="1"/>
  <c r="D14" i="1"/>
  <c r="D16" i="1"/>
  <c r="D17" i="1"/>
  <c r="D11" i="1"/>
  <c r="D10" i="1"/>
  <c r="C10" i="1"/>
  <c r="C16" i="1"/>
  <c r="C9" i="1" l="1"/>
  <c r="C12" i="1"/>
  <c r="C13" i="1" s="1"/>
  <c r="C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B6" authorId="0" shapeId="0" xr:uid="{8B96B91E-256E-43E4-9852-0204360DBE09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Uin_nom - nominal input voltage to be measured
</t>
        </r>
      </text>
    </comment>
    <comment ref="B7" authorId="0" shapeId="0" xr:uid="{94022FCA-04E4-4EC4-A30B-05E023819E8B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Rb - Voltage divider bottom Resistor - or Rsense in this case.</t>
        </r>
      </text>
    </comment>
    <comment ref="B8" authorId="0" shapeId="0" xr:uid="{2EFE824D-1085-4703-AFCC-4CA118809761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Rt - top resistor of the voltage divider , in this particular case the sum of the two resistors RDIV1+RDIV2 in seriese with RSNS
</t>
        </r>
      </text>
    </comment>
    <comment ref="B9" authorId="0" shapeId="0" xr:uid="{4042A39D-87EF-4308-AA5D-04693E125CCE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Usns_nom - nominal voltage across the sens resistor when Uin_nom is applied on the input.</t>
        </r>
      </text>
    </comment>
    <comment ref="B10" authorId="0" shapeId="0" xr:uid="{8D6AFE12-433C-49AF-926E-4A0501BD73E8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Uin_max_lin - max input voltage that will produce a linear response from the AMC3330. This corresponsd to a ±1V drop acros the Rsns.</t>
        </r>
      </text>
    </comment>
    <comment ref="B11" authorId="0" shapeId="0" xr:uid="{4A1DDB7E-092A-4A87-9920-5E418DE9FA5B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Uin_max_clip - max input voltage before clopping a response from the AMC3330. This corresponsd to a ±1.25V drop acros the Rsns.</t>
        </r>
      </text>
    </comment>
    <comment ref="B12" authorId="0" shapeId="0" xr:uid="{49B4ABE3-537A-4F9F-9EBF-F1AD96D620CE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Idiv - current through the voltage sense voltage divider, in this case the curren through Rdiv1+Rsns+Rdiv2</t>
        </r>
      </text>
    </comment>
    <comment ref="B13" authorId="0" shapeId="0" xr:uid="{EF48CA8C-1D61-403A-A8C9-79BE6D98AAFD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P_Rsns_rms - total rms power dissipation in the sense resistor Rsns</t>
        </r>
      </text>
    </comment>
    <comment ref="B14" authorId="0" shapeId="0" xr:uid="{3A8E2863-550D-43AA-9128-B97E4831EBD0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P_Rt_rms - total rms power dissipation in the input resistor chain Rt</t>
        </r>
      </text>
    </comment>
    <comment ref="B15" authorId="0" shapeId="0" xr:uid="{9211F888-78CD-449F-8105-75CE3D714A77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Cf - Input filter capacitor</t>
        </r>
      </text>
    </comment>
    <comment ref="B16" authorId="0" shapeId="0" xr:uid="{A51F13D1-3B32-4A05-91F5-AA48BC0BB93C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Fc - cutoff frequency of the input filter</t>
        </r>
      </text>
    </comment>
    <comment ref="B17" authorId="0" shapeId="0" xr:uid="{9F394B3C-A19B-4127-85BF-87DEAB541B4C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Uin/Uout - input to output transfer function in the linear region
</t>
        </r>
      </text>
    </comment>
  </commentList>
</comments>
</file>

<file path=xl/sharedStrings.xml><?xml version="1.0" encoding="utf-8"?>
<sst xmlns="http://schemas.openxmlformats.org/spreadsheetml/2006/main" count="51" uniqueCount="35">
  <si>
    <t>Version</t>
  </si>
  <si>
    <t>Date</t>
  </si>
  <si>
    <t>Change</t>
  </si>
  <si>
    <t>original release</t>
  </si>
  <si>
    <t>Author</t>
  </si>
  <si>
    <t>Legend:</t>
  </si>
  <si>
    <t>Datasheet values</t>
  </si>
  <si>
    <t>Input values</t>
  </si>
  <si>
    <t>Output Values</t>
  </si>
  <si>
    <t>Input value based on previous outputs.</t>
  </si>
  <si>
    <t>AMC3330</t>
  </si>
  <si>
    <t>Datahseet:</t>
  </si>
  <si>
    <t>Title</t>
  </si>
  <si>
    <t>Rt=</t>
  </si>
  <si>
    <t>Idiv=</t>
  </si>
  <si>
    <t>mW</t>
  </si>
  <si>
    <t>kΩ</t>
  </si>
  <si>
    <t>uA</t>
  </si>
  <si>
    <t>Uin_nom=</t>
  </si>
  <si>
    <t>V</t>
  </si>
  <si>
    <t>mV</t>
  </si>
  <si>
    <t>Cf=</t>
  </si>
  <si>
    <t>nF</t>
  </si>
  <si>
    <t>Fc=</t>
  </si>
  <si>
    <t>kHz</t>
  </si>
  <si>
    <t>Uin_max_lin=</t>
  </si>
  <si>
    <t>Rsns=</t>
  </si>
  <si>
    <t>Usns_nom=</t>
  </si>
  <si>
    <t>Uin_max_clip=</t>
  </si>
  <si>
    <t>P_Rsns_rms=</t>
  </si>
  <si>
    <t>P_Rt_rms=</t>
  </si>
  <si>
    <t>Uin/Uout=</t>
  </si>
  <si>
    <t>VMC_AC</t>
  </si>
  <si>
    <t>VMC_DC</t>
  </si>
  <si>
    <t>Rizwan 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</si>
</sst>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E+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indent="2"/>
    </xf>
    <xf numFmtId="0" fontId="0" fillId="2" borderId="0" xfId="0" applyFill="1" applyAlignment="1">
      <alignment horizontal="left" vertical="center" indent="2"/>
    </xf>
    <xf numFmtId="0" fontId="0" fillId="3" borderId="0" xfId="0" applyFill="1" applyAlignment="1">
      <alignment horizontal="left" vertical="center" indent="2"/>
    </xf>
    <xf numFmtId="0" fontId="0" fillId="5" borderId="0" xfId="0" applyFill="1" applyAlignment="1">
      <alignment horizontal="left" vertical="center" indent="2"/>
    </xf>
    <xf numFmtId="0" fontId="4" fillId="0" borderId="0" xfId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2" fontId="0" fillId="2" borderId="0" xfId="0" applyNumberForma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6699"/>
      <color rgb="FFCC6600"/>
      <color rgb="FFCC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i.com/lit/gpn/amc3330-q1" TargetMode="External"/><Relationship Id="rId1" Type="http://schemas.openxmlformats.org/officeDocument/2006/relationships/hyperlink" Target="https://www.ti.com/lit/gpn/amc3330-q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A1E2-7097-4058-8EC9-AB787B1BC5C5}">
  <dimension ref="A1:D4"/>
  <sheetViews>
    <sheetView workbookViewId="0">
      <selection activeCell="C9" sqref="C9"/>
    </sheetView>
  </sheetViews>
  <sheetFormatPr baseColWidth="10" defaultColWidth="9.1640625" defaultRowHeight="15" x14ac:dyDescent="0.2"/>
  <cols>
    <col min="1" max="1" width="9.1640625" style="2"/>
    <col min="2" max="3" width="17.5" style="2" customWidth="1"/>
    <col min="4" max="16384" width="9.1640625" style="2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">
      <c r="A2" s="2">
        <v>0.1</v>
      </c>
      <c r="B2" s="4">
        <v>45461</v>
      </c>
      <c r="C2" s="4" t="s">
        <v>34</v>
      </c>
      <c r="D2" s="5" t="s">
        <v>3</v>
      </c>
    </row>
    <row r="3" spans="1:4" x14ac:dyDescent="0.2">
      <c r="B3" s="4"/>
      <c r="C3" s="4"/>
      <c r="D3" s="5"/>
    </row>
    <row r="4" spans="1:4" x14ac:dyDescent="0.2">
      <c r="B4" s="4"/>
      <c r="C4" s="4"/>
      <c r="D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5130-43AF-5444-90CC-D1CB7A194327}">
  <dimension ref="L1:O5"/>
  <sheetViews>
    <sheetView workbookViewId="0">
      <selection activeCell="L1" sqref="L1:O5"/>
    </sheetView>
  </sheetViews>
  <sheetFormatPr baseColWidth="10" defaultRowHeight="15" x14ac:dyDescent="0.2"/>
  <sheetData>
    <row r="1" spans="12:15" x14ac:dyDescent="0.2">
      <c r="L1" s="8" t="s">
        <v>5</v>
      </c>
      <c r="M1" s="2"/>
      <c r="N1" s="2"/>
      <c r="O1" s="2"/>
    </row>
    <row r="2" spans="12:15" x14ac:dyDescent="0.2">
      <c r="L2" s="11" t="s">
        <v>6</v>
      </c>
      <c r="M2" s="10"/>
      <c r="N2" s="10"/>
      <c r="O2" s="10"/>
    </row>
    <row r="3" spans="12:15" x14ac:dyDescent="0.2">
      <c r="L3" s="12" t="s">
        <v>7</v>
      </c>
      <c r="M3" s="9"/>
      <c r="N3" s="9"/>
      <c r="O3" s="9"/>
    </row>
    <row r="4" spans="12:15" x14ac:dyDescent="0.2">
      <c r="L4" s="13" t="s">
        <v>8</v>
      </c>
      <c r="M4" s="3"/>
      <c r="N4" s="3"/>
      <c r="O4" s="3"/>
    </row>
    <row r="5" spans="12:15" x14ac:dyDescent="0.2">
      <c r="L5" s="14" t="s">
        <v>9</v>
      </c>
      <c r="M5" s="7"/>
      <c r="N5" s="7"/>
      <c r="O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354C-7E53-E947-AEC9-804711F08022}">
  <dimension ref="L1:O5"/>
  <sheetViews>
    <sheetView tabSelected="1" workbookViewId="0">
      <selection activeCell="J11" sqref="J11"/>
    </sheetView>
  </sheetViews>
  <sheetFormatPr baseColWidth="10" defaultRowHeight="15" x14ac:dyDescent="0.2"/>
  <sheetData>
    <row r="1" spans="12:15" x14ac:dyDescent="0.2">
      <c r="L1" s="8" t="s">
        <v>5</v>
      </c>
      <c r="M1" s="2"/>
      <c r="N1" s="2"/>
      <c r="O1" s="2"/>
    </row>
    <row r="2" spans="12:15" x14ac:dyDescent="0.2">
      <c r="L2" s="11" t="s">
        <v>6</v>
      </c>
      <c r="M2" s="10"/>
      <c r="N2" s="10"/>
      <c r="O2" s="10"/>
    </row>
    <row r="3" spans="12:15" x14ac:dyDescent="0.2">
      <c r="L3" s="12" t="s">
        <v>7</v>
      </c>
      <c r="M3" s="9"/>
      <c r="N3" s="9"/>
      <c r="O3" s="9"/>
    </row>
    <row r="4" spans="12:15" x14ac:dyDescent="0.2">
      <c r="L4" s="13" t="s">
        <v>8</v>
      </c>
      <c r="M4" s="3"/>
      <c r="N4" s="3"/>
      <c r="O4" s="3"/>
    </row>
    <row r="5" spans="12:15" x14ac:dyDescent="0.2">
      <c r="L5" s="14" t="s">
        <v>9</v>
      </c>
      <c r="M5" s="7"/>
      <c r="N5" s="7"/>
      <c r="O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B9B8-B375-4B50-A9B7-A04B27D46D44}">
  <dimension ref="B1:Q17"/>
  <sheetViews>
    <sheetView zoomScale="85" zoomScaleNormal="85" workbookViewId="0">
      <selection activeCell="N3" sqref="N3:Q7"/>
    </sheetView>
  </sheetViews>
  <sheetFormatPr baseColWidth="10" defaultColWidth="9.1640625" defaultRowHeight="15" x14ac:dyDescent="0.2"/>
  <cols>
    <col min="1" max="1" width="9.1640625" style="2"/>
    <col min="2" max="2" width="14.83203125" style="2" customWidth="1"/>
    <col min="3" max="3" width="14.1640625" style="2" customWidth="1"/>
    <col min="4" max="4" width="13" style="21" customWidth="1"/>
    <col min="5" max="10" width="9.1640625" style="2"/>
    <col min="11" max="12" width="9.6640625" style="2" customWidth="1"/>
    <col min="13" max="16" width="9.1640625" style="2"/>
    <col min="17" max="17" width="10.1640625" style="2" customWidth="1"/>
    <col min="18" max="16384" width="9.1640625" style="2"/>
  </cols>
  <sheetData>
    <row r="1" spans="2:17" ht="18" x14ac:dyDescent="0.2">
      <c r="G1" s="6" t="s">
        <v>10</v>
      </c>
    </row>
    <row r="3" spans="2:17" x14ac:dyDescent="0.2">
      <c r="N3" s="8" t="s">
        <v>5</v>
      </c>
    </row>
    <row r="4" spans="2:17" x14ac:dyDescent="0.2">
      <c r="B4" s="8" t="s">
        <v>12</v>
      </c>
      <c r="C4" s="1" t="s">
        <v>32</v>
      </c>
      <c r="D4" s="1" t="s">
        <v>33</v>
      </c>
      <c r="E4" s="21"/>
      <c r="N4" s="11" t="s">
        <v>6</v>
      </c>
      <c r="O4" s="10"/>
      <c r="P4" s="10"/>
      <c r="Q4" s="10"/>
    </row>
    <row r="5" spans="2:17" x14ac:dyDescent="0.2">
      <c r="B5" s="2" t="s">
        <v>11</v>
      </c>
      <c r="C5" s="15" t="s">
        <v>10</v>
      </c>
      <c r="D5" s="15" t="s">
        <v>10</v>
      </c>
      <c r="E5" s="21"/>
      <c r="H5" s="15"/>
      <c r="N5" s="12" t="s">
        <v>7</v>
      </c>
      <c r="O5" s="9"/>
      <c r="P5" s="9"/>
      <c r="Q5" s="9"/>
    </row>
    <row r="6" spans="2:17" x14ac:dyDescent="0.2">
      <c r="B6" s="16" t="s">
        <v>18</v>
      </c>
      <c r="C6" s="18">
        <f>240*1.4142</f>
        <v>339.40799999999996</v>
      </c>
      <c r="D6" s="18">
        <v>450</v>
      </c>
      <c r="E6" s="17" t="s">
        <v>19</v>
      </c>
      <c r="N6" s="13" t="s">
        <v>8</v>
      </c>
      <c r="O6" s="3"/>
      <c r="P6" s="3"/>
      <c r="Q6" s="3"/>
    </row>
    <row r="7" spans="2:17" x14ac:dyDescent="0.2">
      <c r="B7" s="16" t="s">
        <v>26</v>
      </c>
      <c r="C7" s="9">
        <v>2.2000000000000002</v>
      </c>
      <c r="D7" s="9">
        <v>2.2000000000000002</v>
      </c>
      <c r="E7" s="17" t="s">
        <v>16</v>
      </c>
      <c r="N7" s="14" t="s">
        <v>9</v>
      </c>
      <c r="O7" s="7"/>
      <c r="P7" s="7"/>
      <c r="Q7" s="7"/>
    </row>
    <row r="8" spans="2:17" x14ac:dyDescent="0.2">
      <c r="B8" s="16" t="s">
        <v>13</v>
      </c>
      <c r="C8" s="9">
        <f>8*100</f>
        <v>800</v>
      </c>
      <c r="D8" s="9">
        <f>4*150+4*100</f>
        <v>1000</v>
      </c>
      <c r="E8" s="17" t="s">
        <v>16</v>
      </c>
    </row>
    <row r="9" spans="2:17" x14ac:dyDescent="0.2">
      <c r="B9" s="16" t="s">
        <v>27</v>
      </c>
      <c r="C9" s="19">
        <f>(C7)/(C7+C8)*C6*10^3</f>
        <v>930.81226626776356</v>
      </c>
      <c r="D9" s="19">
        <f>(D7)/(D7+D8)*D6*10^3</f>
        <v>987.82678108162054</v>
      </c>
      <c r="E9" s="17" t="s">
        <v>20</v>
      </c>
    </row>
    <row r="10" spans="2:17" x14ac:dyDescent="0.2">
      <c r="B10" s="16" t="s">
        <v>25</v>
      </c>
      <c r="C10" s="20">
        <f>1*(C8+C7)/C7</f>
        <v>364.63636363636363</v>
      </c>
      <c r="D10" s="20">
        <f>1*(D8+D7)/D7</f>
        <v>455.5454545454545</v>
      </c>
      <c r="E10" s="17" t="s">
        <v>19</v>
      </c>
    </row>
    <row r="11" spans="2:17" x14ac:dyDescent="0.2">
      <c r="B11" s="16" t="s">
        <v>28</v>
      </c>
      <c r="C11" s="20">
        <f>1.25*(C8+C7)/C7</f>
        <v>455.7954545454545</v>
      </c>
      <c r="D11" s="20">
        <f>1.25*(D8+D7)/D7</f>
        <v>569.43181818181813</v>
      </c>
      <c r="E11" s="17" t="s">
        <v>19</v>
      </c>
    </row>
    <row r="12" spans="2:17" x14ac:dyDescent="0.2">
      <c r="B12" s="16" t="s">
        <v>14</v>
      </c>
      <c r="C12" s="20">
        <f>(C6/((C7+C8)*10^3)*10^6)</f>
        <v>423.09648466716527</v>
      </c>
      <c r="D12" s="20">
        <f>(D6/((D7+D8)*10^3)*10^6)</f>
        <v>449.01217321891835</v>
      </c>
      <c r="E12" s="17" t="s">
        <v>17</v>
      </c>
    </row>
    <row r="13" spans="2:17" x14ac:dyDescent="0.2">
      <c r="B13" s="16" t="s">
        <v>29</v>
      </c>
      <c r="C13" s="19">
        <f>(C7*10^3*(C12*10^-6/SQRT(2))^2)*10^3</f>
        <v>0.19691169887148408</v>
      </c>
      <c r="D13" s="19">
        <f>(D7*10^3*(D12*10^-6/SQRT(2))^2)*10^3</f>
        <v>0.22177312486865342</v>
      </c>
      <c r="E13" s="17" t="s">
        <v>15</v>
      </c>
    </row>
    <row r="14" spans="2:17" x14ac:dyDescent="0.2">
      <c r="B14" s="16" t="s">
        <v>30</v>
      </c>
      <c r="C14" s="19">
        <f>(C8*10^3*(C12*10^-6/SQRT(2))^2)*10^3</f>
        <v>71.604254135085114</v>
      </c>
      <c r="D14" s="19">
        <f>(D8*10^3*(D12*10^-6/SQRT(2))^2)*10^3</f>
        <v>100.80596584938793</v>
      </c>
      <c r="E14" s="17" t="s">
        <v>15</v>
      </c>
    </row>
    <row r="15" spans="2:17" x14ac:dyDescent="0.2">
      <c r="B15" s="16" t="s">
        <v>21</v>
      </c>
      <c r="C15" s="9">
        <v>1</v>
      </c>
      <c r="D15" s="9">
        <v>1</v>
      </c>
      <c r="E15" s="17" t="s">
        <v>22</v>
      </c>
    </row>
    <row r="16" spans="2:17" x14ac:dyDescent="0.2">
      <c r="B16" s="16" t="s">
        <v>23</v>
      </c>
      <c r="C16" s="19">
        <f>(1/(2*PI()*((C7*C8)/(C7+C8))*10^3*C15*10^-9))*0.5*10^-3</f>
        <v>36.27104981486319</v>
      </c>
      <c r="D16" s="19">
        <f>(1/(2*PI()*((D7*D8)/(D7+D8))*10^3*D15*10^-9))*0.5*10^-3</f>
        <v>36.251155446976711</v>
      </c>
      <c r="E16" s="17" t="s">
        <v>24</v>
      </c>
    </row>
    <row r="17" spans="2:5" x14ac:dyDescent="0.2">
      <c r="B17" s="16" t="s">
        <v>31</v>
      </c>
      <c r="C17" s="22">
        <f>C7/(C7+C8)*2</f>
        <v>5.4849164796808778E-3</v>
      </c>
      <c r="D17" s="22">
        <f>D7/(D7+D8)*2</f>
        <v>4.390341249251647E-3</v>
      </c>
      <c r="E17" s="21"/>
    </row>
  </sheetData>
  <hyperlinks>
    <hyperlink ref="C5" r:id="rId1" xr:uid="{5B465275-943F-48C1-8FFB-CBAAC57842B3}"/>
    <hyperlink ref="D5" r:id="rId2" xr:uid="{2516CEE6-F209-42D7-A1DA-7F39993C4F77}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PWR</vt:lpstr>
      <vt:lpstr>LOGIC</vt:lpstr>
      <vt:lpstr>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Schlezinger</dc:creator>
  <cp:lastModifiedBy>Rizwan Isa</cp:lastModifiedBy>
  <dcterms:created xsi:type="dcterms:W3CDTF">2024-01-24T09:38:58Z</dcterms:created>
  <dcterms:modified xsi:type="dcterms:W3CDTF">2025-12-20T13:31:38Z</dcterms:modified>
</cp:coreProperties>
</file>